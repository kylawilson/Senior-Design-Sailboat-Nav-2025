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2">
      <text>
        <t xml:space="preserve">I'm fine with that out of my money cause I might return something if I don't end up using it still unsure
	-Leyandra Burke</t>
      </text>
    </comment>
    <comment authorId="0" ref="K12">
      <text>
        <t xml:space="preserve">What is this number?
	-Kyla Wilson</t>
      </text>
    </comment>
  </commentList>
</comments>
</file>

<file path=xl/sharedStrings.xml><?xml version="1.0" encoding="utf-8"?>
<sst xmlns="http://schemas.openxmlformats.org/spreadsheetml/2006/main" count="97" uniqueCount="65">
  <si>
    <t>Parts</t>
  </si>
  <si>
    <t>Link</t>
  </si>
  <si>
    <t>Vendor</t>
  </si>
  <si>
    <t>Who Payed</t>
  </si>
  <si>
    <t>Price</t>
  </si>
  <si>
    <t>Quantity</t>
  </si>
  <si>
    <t>Receipt in Receipt Folder?</t>
  </si>
  <si>
    <t>Amazon Total</t>
  </si>
  <si>
    <t>Total Payed</t>
  </si>
  <si>
    <t>Total Spent</t>
  </si>
  <si>
    <t>Budget Left</t>
  </si>
  <si>
    <t>Budget Left w/o Paying Out of Pocket</t>
  </si>
  <si>
    <t>NRF52840-DONGLE (Bluetooth)</t>
  </si>
  <si>
    <t>Bluetooth</t>
  </si>
  <si>
    <t>DigiKey</t>
  </si>
  <si>
    <t>Leyandra</t>
  </si>
  <si>
    <t>Yes</t>
  </si>
  <si>
    <t>GPS Module</t>
  </si>
  <si>
    <t>GPS</t>
  </si>
  <si>
    <t>Adafruit</t>
  </si>
  <si>
    <t>Diego</t>
  </si>
  <si>
    <t>StereoPi Slim V2</t>
  </si>
  <si>
    <t>StereoPi v2 Slim - PiShop.us</t>
  </si>
  <si>
    <t>PiShop</t>
  </si>
  <si>
    <t>Kyla</t>
  </si>
  <si>
    <t>RPi CM4</t>
  </si>
  <si>
    <t>RPiCM4</t>
  </si>
  <si>
    <t>OAK-D S2</t>
  </si>
  <si>
    <t>Camera</t>
  </si>
  <si>
    <t>Luxonis</t>
  </si>
  <si>
    <t>Ryan</t>
  </si>
  <si>
    <t>No</t>
  </si>
  <si>
    <t>N/A</t>
  </si>
  <si>
    <t>Sparkfun Weather Meter Kit</t>
  </si>
  <si>
    <t>Anemometer</t>
  </si>
  <si>
    <t>Sparkfun</t>
  </si>
  <si>
    <t>Coupler</t>
  </si>
  <si>
    <t>16Bit ADC</t>
  </si>
  <si>
    <t>ADC</t>
  </si>
  <si>
    <t>RJ11 Cable</t>
  </si>
  <si>
    <t>RPi CM4 w/ Bluetooth</t>
  </si>
  <si>
    <t>CM4 w/ Bluetooth</t>
  </si>
  <si>
    <t>Digikey</t>
  </si>
  <si>
    <t>Batteries</t>
  </si>
  <si>
    <t>Amazon</t>
  </si>
  <si>
    <t>School</t>
  </si>
  <si>
    <t>Anemometer Pole</t>
  </si>
  <si>
    <t>Pole</t>
  </si>
  <si>
    <t>Testrite Aluminum</t>
  </si>
  <si>
    <t>Liquid Tight Plastic Adapter</t>
  </si>
  <si>
    <t>Plastic Adapter</t>
  </si>
  <si>
    <t>Lowes</t>
  </si>
  <si>
    <t>Assorted Rubber Washers</t>
  </si>
  <si>
    <t>Rubber Washers</t>
  </si>
  <si>
    <t xml:space="preserve">Flex Seal </t>
  </si>
  <si>
    <t>Flex Seal</t>
  </si>
  <si>
    <t>Flange Mount</t>
  </si>
  <si>
    <t>Flanges</t>
  </si>
  <si>
    <t>Latches</t>
  </si>
  <si>
    <t>Walmart</t>
  </si>
  <si>
    <t>PETG FIlament</t>
  </si>
  <si>
    <t>Diego, Kyla(team)</t>
  </si>
  <si>
    <t>33.98 ($6.80 per person)</t>
  </si>
  <si>
    <t>2 (total)</t>
  </si>
  <si>
    <t>group pay back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</si>
</sst>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igikey.com/en/products/detail/raspberry-pi/SC0691/13530946?so=91671580&amp;content=productdetail_US&amp;mkt_tok=MDI4LVNYSy01MDcAAAGZVfDYkM1zjvZ6oG35nJin2EaTRkIEjI2jOSXpuwAxzYDgiTe-xQW7090iYLd7tqLRkeTFlVFm3FNMIaNMRm9GAEXrstXOYp-Kyu8W3EwkTA" TargetMode="External"/><Relationship Id="rId10" Type="http://schemas.openxmlformats.org/officeDocument/2006/relationships/hyperlink" Target="https://www.digikey.com/en/products/detail/amphenol-cables-on-demand/MP-5FRJ11STWS-001/13877699" TargetMode="External"/><Relationship Id="rId13" Type="http://schemas.openxmlformats.org/officeDocument/2006/relationships/hyperlink" Target="https://www.lowes.com/pd/Tectite-Electrical-1-2-in-Adapter-Connector-Conduit-Fittings/5001381513" TargetMode="External"/><Relationship Id="rId12" Type="http://schemas.openxmlformats.org/officeDocument/2006/relationships/hyperlink" Target="https://www.testritealuminum.com/products/tbasb1?srsltid=AfmBOop9c0HiF08-HMJxEoGML4pPPT50mRiWh9fkgU_3E0HEqnNDZjz1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digikey.com/en/products/detail/nordic-semiconductor-asa/NRF52840-DONGLE/9491124?utm_adgroup=&amp;utm_source=google&amp;utm_medium=cpc&amp;utm_campaign=PMax%20Shopping_Product_Low%20ROAS%20Categories&amp;utm_term=&amp;utm_content=&amp;utm_id=go_cmp-20243063506_adg-_ad-__dev-c_ext-_prd-9491124_sig-CjwKCAjwjsi4BhB5EiwAFAL0YMm7sITPgzFI9Lo0rRXaC51wKE9xOpCJSG4nncB3MvHgdFF5jIpzbhoCIK4QAvD_BwE&amp;gad_source=1&amp;gclid=CjwKCAjwjsi4BhB5EiwAFAL0YMm7sITPgzFI9Lo0rRXaC51wKE9xOpCJSG4nncB3MvHgdFF5jIpzbhoCIK4QAvD_BwE" TargetMode="External"/><Relationship Id="rId3" Type="http://schemas.openxmlformats.org/officeDocument/2006/relationships/hyperlink" Target="https://learn.adafruit.com/flora-wearable-gps/program-flora" TargetMode="External"/><Relationship Id="rId4" Type="http://schemas.openxmlformats.org/officeDocument/2006/relationships/hyperlink" Target="https://www.pishop.us/product/stereopi-v2-slim/" TargetMode="External"/><Relationship Id="rId9" Type="http://schemas.openxmlformats.org/officeDocument/2006/relationships/hyperlink" Target="https://www.digikey.com/en/products/detail/adafruit-industries-llc/1085/5761229" TargetMode="External"/><Relationship Id="rId15" Type="http://schemas.openxmlformats.org/officeDocument/2006/relationships/hyperlink" Target="https://www.lowes.com/pd/Flex-Seal-Max-17-oz-Clear-Spray/5001781307" TargetMode="External"/><Relationship Id="rId14" Type="http://schemas.openxmlformats.org/officeDocument/2006/relationships/hyperlink" Target="https://www.lowes.com/pd/Danco-Assorted-Washer-ProPack-116-Pack/1000228407" TargetMode="External"/><Relationship Id="rId17" Type="http://schemas.openxmlformats.org/officeDocument/2006/relationships/hyperlink" Target="https://www.walmart.com/ip/Hyper-Tough-New-4-5-in-Swivel-Safety-Hasp-Zinc-Plated/2084697644" TargetMode="External"/><Relationship Id="rId16" Type="http://schemas.openxmlformats.org/officeDocument/2006/relationships/hyperlink" Target="https://www.lowes.com/pd/Blue-Hawk-1-5-16-in-Black-Closet-Rod-Flange-Set/1001378408" TargetMode="External"/><Relationship Id="rId5" Type="http://schemas.openxmlformats.org/officeDocument/2006/relationships/hyperlink" Target="https://www.digikey.com/en/products/detail/raspberry-pi/SC0679B/13530945?gclsrc=aw.ds&amp;&amp;utm_adgroup=&amp;utm_source=google&amp;utm_medium=cpc&amp;utm_campaign=Pmax_Shopping_DK%2B%20Supplier_ITECH&amp;utm_term=&amp;utm_content=&amp;utm_id=go_cmp-21147141757_adg-_ad-__dev-c_ext-_prd-13530945_sig-CjwKCAiA0rW6BhAcEiwAQH28IqaKoMPOqWTem-6_QyMzBWha5sjT-4tjL5FpF-1bueplAJ2G-Fg8_xoC_ekQAvD_BwE&amp;gad_source=1&amp;gclid=CjwKCAiA0rW6BhAcEiwAQH28IqaKoMPOqWTem-6_QyMzBWha5sjT-4tjL5FpF-1bueplAJ2G-Fg8_xoC_ekQAvD_BwE&amp;gclsrc=aw.ds" TargetMode="External"/><Relationship Id="rId19" Type="http://schemas.openxmlformats.org/officeDocument/2006/relationships/vmlDrawing" Target="../drawings/vmlDrawing1.vml"/><Relationship Id="rId6" Type="http://schemas.openxmlformats.org/officeDocument/2006/relationships/hyperlink" Target="https://shop.luxonis.com/products/oak-d-s2?srsltid=AfmBOor938AunyZTvshH5Chru3XPsa_niySKr7tsm7RxMS-T4NA2KMTd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www.sparkfun.com/weather-meter-kit.html" TargetMode="External"/><Relationship Id="rId8" Type="http://schemas.openxmlformats.org/officeDocument/2006/relationships/hyperlink" Target="https://www.digikey.com/en/products/detail/eaton-tripp-lite/P420-001/15334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3" max="3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A2" s="3" t="s">
        <v>12</v>
      </c>
      <c r="B2" s="4" t="s">
        <v>13</v>
      </c>
      <c r="C2" s="3" t="s">
        <v>14</v>
      </c>
      <c r="D2" s="3" t="s">
        <v>15</v>
      </c>
      <c r="E2" s="3">
        <v>10.0</v>
      </c>
      <c r="F2" s="3">
        <v>2.0</v>
      </c>
      <c r="G2" s="3" t="s">
        <v>16</v>
      </c>
      <c r="J2" s="3">
        <v>28.24</v>
      </c>
      <c r="K2" s="3">
        <f>sum(J2:J5,J7,J8,J11,J13,J16,J17,J18,I12)</f>
        <v>762.86</v>
      </c>
      <c r="L2" s="3">
        <f>1000-K2</f>
        <v>237.14</v>
      </c>
      <c r="M2" s="5">
        <f>L2-250</f>
        <v>-12.86</v>
      </c>
    </row>
    <row r="3">
      <c r="A3" s="3" t="s">
        <v>17</v>
      </c>
      <c r="B3" s="4" t="s">
        <v>18</v>
      </c>
      <c r="C3" s="3" t="s">
        <v>19</v>
      </c>
      <c r="D3" s="3" t="s">
        <v>20</v>
      </c>
      <c r="E3" s="3">
        <v>24.99</v>
      </c>
      <c r="F3" s="3">
        <v>1.0</v>
      </c>
      <c r="G3" s="3" t="s">
        <v>16</v>
      </c>
      <c r="I3" s="3"/>
      <c r="J3" s="3">
        <v>35.89</v>
      </c>
    </row>
    <row r="4">
      <c r="A4" s="3" t="s">
        <v>21</v>
      </c>
      <c r="B4" s="4" t="s">
        <v>22</v>
      </c>
      <c r="C4" s="3" t="s">
        <v>23</v>
      </c>
      <c r="D4" s="3" t="s">
        <v>24</v>
      </c>
      <c r="E4" s="3">
        <v>59.95</v>
      </c>
      <c r="F4" s="3">
        <v>2.0</v>
      </c>
      <c r="G4" s="3" t="s">
        <v>16</v>
      </c>
      <c r="J4" s="3">
        <v>138.03</v>
      </c>
    </row>
    <row r="5">
      <c r="A5" s="3" t="s">
        <v>25</v>
      </c>
      <c r="B5" s="4" t="s">
        <v>26</v>
      </c>
      <c r="C5" s="3" t="s">
        <v>14</v>
      </c>
      <c r="D5" s="3" t="s">
        <v>24</v>
      </c>
      <c r="E5" s="3">
        <v>35.0</v>
      </c>
      <c r="F5" s="3">
        <v>2.0</v>
      </c>
      <c r="G5" s="3" t="s">
        <v>16</v>
      </c>
      <c r="J5" s="3">
        <v>81.37</v>
      </c>
    </row>
    <row r="6">
      <c r="A6" s="3" t="s">
        <v>27</v>
      </c>
      <c r="B6" s="4" t="s">
        <v>28</v>
      </c>
      <c r="C6" s="3" t="s">
        <v>29</v>
      </c>
      <c r="D6" s="3" t="s">
        <v>30</v>
      </c>
      <c r="E6" s="3">
        <v>250.0</v>
      </c>
      <c r="F6" s="3">
        <v>1.0</v>
      </c>
      <c r="G6" s="3" t="s">
        <v>31</v>
      </c>
      <c r="J6" s="3" t="s">
        <v>32</v>
      </c>
    </row>
    <row r="7">
      <c r="A7" s="3" t="s">
        <v>33</v>
      </c>
      <c r="B7" s="4" t="s">
        <v>34</v>
      </c>
      <c r="C7" s="3" t="s">
        <v>35</v>
      </c>
      <c r="D7" s="3" t="s">
        <v>24</v>
      </c>
      <c r="E7" s="3">
        <v>79.95</v>
      </c>
      <c r="F7" s="3">
        <v>1.0</v>
      </c>
      <c r="G7" s="3" t="s">
        <v>16</v>
      </c>
      <c r="J7" s="3">
        <v>91.94</v>
      </c>
    </row>
    <row r="8">
      <c r="A8" s="3" t="s">
        <v>36</v>
      </c>
      <c r="B8" s="4" t="s">
        <v>36</v>
      </c>
      <c r="C8" s="3" t="s">
        <v>14</v>
      </c>
      <c r="D8" s="3" t="s">
        <v>15</v>
      </c>
      <c r="E8" s="3">
        <v>1.84</v>
      </c>
      <c r="F8" s="3">
        <v>1.0</v>
      </c>
      <c r="G8" s="3" t="s">
        <v>16</v>
      </c>
      <c r="J8" s="3">
        <v>28.43</v>
      </c>
    </row>
    <row r="9">
      <c r="A9" s="3" t="s">
        <v>37</v>
      </c>
      <c r="B9" s="4" t="s">
        <v>38</v>
      </c>
      <c r="C9" s="3" t="s">
        <v>14</v>
      </c>
      <c r="D9" s="3" t="s">
        <v>15</v>
      </c>
      <c r="E9" s="3">
        <v>14.95</v>
      </c>
      <c r="F9" s="3">
        <v>1.0</v>
      </c>
    </row>
    <row r="10">
      <c r="A10" s="3" t="s">
        <v>39</v>
      </c>
      <c r="B10" s="4" t="s">
        <v>39</v>
      </c>
      <c r="C10" s="3" t="s">
        <v>14</v>
      </c>
      <c r="D10" s="3" t="s">
        <v>15</v>
      </c>
      <c r="E10" s="3">
        <v>1.46</v>
      </c>
      <c r="F10" s="3">
        <v>2.0</v>
      </c>
    </row>
    <row r="11">
      <c r="A11" s="3" t="s">
        <v>40</v>
      </c>
      <c r="B11" s="4" t="s">
        <v>41</v>
      </c>
      <c r="C11" s="3" t="s">
        <v>42</v>
      </c>
      <c r="D11" s="3" t="s">
        <v>24</v>
      </c>
      <c r="E11" s="3">
        <v>35.0</v>
      </c>
      <c r="F11" s="3">
        <v>2.0</v>
      </c>
      <c r="G11" s="3" t="s">
        <v>16</v>
      </c>
      <c r="J11" s="3">
        <v>81.37</v>
      </c>
    </row>
    <row r="12">
      <c r="A12" s="3" t="s">
        <v>43</v>
      </c>
      <c r="C12" s="3" t="s">
        <v>44</v>
      </c>
      <c r="D12" s="3" t="s">
        <v>45</v>
      </c>
      <c r="E12" s="3">
        <v>102.26</v>
      </c>
      <c r="F12" s="3">
        <v>1.0</v>
      </c>
      <c r="I12" s="3">
        <v>102.26</v>
      </c>
      <c r="K12" s="3">
        <v>608.42</v>
      </c>
    </row>
    <row r="13">
      <c r="A13" s="3" t="s">
        <v>46</v>
      </c>
      <c r="B13" s="4" t="s">
        <v>47</v>
      </c>
      <c r="C13" s="3" t="s">
        <v>48</v>
      </c>
      <c r="D13" s="3" t="s">
        <v>15</v>
      </c>
      <c r="E13" s="3">
        <v>27.0</v>
      </c>
      <c r="F13" s="3">
        <v>1.0</v>
      </c>
      <c r="G13" s="3" t="s">
        <v>16</v>
      </c>
      <c r="J13" s="3">
        <v>40.63</v>
      </c>
    </row>
    <row r="14">
      <c r="A14" s="3" t="s">
        <v>49</v>
      </c>
      <c r="B14" s="4" t="s">
        <v>50</v>
      </c>
      <c r="C14" s="3" t="s">
        <v>51</v>
      </c>
      <c r="D14" s="3" t="s">
        <v>15</v>
      </c>
      <c r="E14" s="3">
        <v>3.98</v>
      </c>
      <c r="F14" s="3">
        <v>2.0</v>
      </c>
      <c r="G14" s="3" t="s">
        <v>16</v>
      </c>
    </row>
    <row r="15">
      <c r="A15" s="3" t="s">
        <v>52</v>
      </c>
      <c r="B15" s="4" t="s">
        <v>53</v>
      </c>
      <c r="C15" s="3" t="s">
        <v>51</v>
      </c>
      <c r="D15" s="3" t="s">
        <v>15</v>
      </c>
      <c r="E15" s="3">
        <v>12.98</v>
      </c>
      <c r="F15" s="3">
        <v>1.0</v>
      </c>
    </row>
    <row r="16">
      <c r="A16" s="3" t="s">
        <v>54</v>
      </c>
      <c r="B16" s="4" t="s">
        <v>55</v>
      </c>
      <c r="C16" s="3" t="s">
        <v>51</v>
      </c>
      <c r="D16" s="3" t="s">
        <v>15</v>
      </c>
      <c r="E16" s="3">
        <v>16.98</v>
      </c>
      <c r="F16" s="3">
        <v>2.0</v>
      </c>
      <c r="J16" s="3">
        <v>58.73</v>
      </c>
    </row>
    <row r="17">
      <c r="A17" s="3" t="s">
        <v>56</v>
      </c>
      <c r="B17" s="4" t="s">
        <v>57</v>
      </c>
      <c r="C17" s="3" t="s">
        <v>51</v>
      </c>
      <c r="D17" s="3" t="s">
        <v>15</v>
      </c>
      <c r="E17" s="3">
        <v>8.98</v>
      </c>
      <c r="F17" s="3">
        <v>1.0</v>
      </c>
      <c r="G17" s="3" t="s">
        <v>16</v>
      </c>
      <c r="J17" s="3">
        <v>24.54</v>
      </c>
    </row>
    <row r="18">
      <c r="A18" s="3" t="s">
        <v>58</v>
      </c>
      <c r="B18" s="4" t="s">
        <v>58</v>
      </c>
      <c r="C18" s="3" t="s">
        <v>59</v>
      </c>
      <c r="D18" s="3" t="s">
        <v>15</v>
      </c>
      <c r="E18" s="3">
        <v>4.84</v>
      </c>
      <c r="F18" s="3">
        <v>10.0</v>
      </c>
      <c r="G18" s="3" t="s">
        <v>16</v>
      </c>
      <c r="J18" s="3">
        <v>51.43</v>
      </c>
    </row>
    <row r="20">
      <c r="A20" s="3" t="s">
        <v>60</v>
      </c>
      <c r="C20" s="3"/>
      <c r="D20" s="3" t="s">
        <v>61</v>
      </c>
      <c r="E20" s="3" t="s">
        <v>62</v>
      </c>
      <c r="F20" s="3" t="s">
        <v>63</v>
      </c>
      <c r="G20" s="3" t="s">
        <v>64</v>
      </c>
    </row>
  </sheetData>
  <mergeCells count="3">
    <mergeCell ref="G8:G10"/>
    <mergeCell ref="J8:J10"/>
    <mergeCell ref="G14:G16"/>
  </mergeCells>
  <conditionalFormatting sqref="K2:K3">
    <cfRule type="cellIs" dxfId="0" priority="1" operator="greaterThanOrEqual">
      <formula>750</formula>
    </cfRule>
  </conditionalFormatting>
  <hyperlinks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3"/>
    <hyperlink r:id="rId13" ref="B14"/>
    <hyperlink r:id="rId14" ref="B15"/>
    <hyperlink r:id="rId15" ref="B16"/>
    <hyperlink r:id="rId16" ref="B17"/>
    <hyperlink r:id="rId17" ref="B18"/>
  </hyperlinks>
  <drawing r:id="rId18"/>
  <legacyDrawing r:id="rId19"/>
</worksheet>
</file>